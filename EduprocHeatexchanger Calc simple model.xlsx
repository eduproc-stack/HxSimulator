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nas-my.sharepoint.com/personal/tomo_nynas_com/Documents/AA-DATA/EduProc/EduprocHeatexchangerV5/"/>
    </mc:Choice>
  </mc:AlternateContent>
  <bookViews>
    <workbookView xWindow="0" yWindow="0" windowWidth="28800" windowHeight="12210"/>
  </bookViews>
  <sheets>
    <sheet name="Sheet1" sheetId="1" r:id="rId1"/>
  </sheets>
  <definedNames>
    <definedName name="solver_adj" localSheetId="0" hidden="1">Sheet1!$J$6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Sheet1!$M$20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" l="1"/>
  <c r="L9" i="1" s="1"/>
  <c r="J9" i="1" s="1"/>
  <c r="J18" i="1" s="1"/>
  <c r="J17" i="1" l="1"/>
  <c r="J20" i="1" s="1"/>
  <c r="M20" i="1" l="1"/>
</calcChain>
</file>

<file path=xl/sharedStrings.xml><?xml version="1.0" encoding="utf-8"?>
<sst xmlns="http://schemas.openxmlformats.org/spreadsheetml/2006/main" count="14" uniqueCount="14">
  <si>
    <t>Tvin</t>
  </si>
  <si>
    <t>Fvin</t>
  </si>
  <si>
    <t>Tkin</t>
  </si>
  <si>
    <t>Fkin</t>
  </si>
  <si>
    <t>A</t>
  </si>
  <si>
    <t>U</t>
  </si>
  <si>
    <t>Cp</t>
  </si>
  <si>
    <t>Tvut</t>
  </si>
  <si>
    <t>Tkut</t>
  </si>
  <si>
    <t>Tlm</t>
  </si>
  <si>
    <t>Tmv</t>
  </si>
  <si>
    <t>Elm</t>
  </si>
  <si>
    <t>Ecp</t>
  </si>
  <si>
    <t>Diff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</si>
</sst>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:Q21"/>
  <sheetViews>
    <sheetView tabSelected="1" zoomScale="115" zoomScaleNormal="115" workbookViewId="0">
      <selection activeCell="J6" sqref="J6"/>
    </sheetView>
  </sheetViews>
  <sheetFormatPr defaultRowHeight="15" x14ac:dyDescent="0.25"/>
  <sheetData>
    <row r="6" spans="6:17" x14ac:dyDescent="0.25">
      <c r="F6" t="s">
        <v>0</v>
      </c>
      <c r="G6">
        <v>100</v>
      </c>
      <c r="I6" t="s">
        <v>7</v>
      </c>
      <c r="J6" s="2">
        <v>74.707563706046855</v>
      </c>
    </row>
    <row r="7" spans="6:17" x14ac:dyDescent="0.25">
      <c r="F7" t="s">
        <v>1</v>
      </c>
      <c r="G7">
        <v>15</v>
      </c>
      <c r="Q7">
        <v>292029</v>
      </c>
    </row>
    <row r="9" spans="6:17" x14ac:dyDescent="0.25">
      <c r="F9" t="s">
        <v>2</v>
      </c>
      <c r="G9">
        <v>20</v>
      </c>
      <c r="I9" t="s">
        <v>8</v>
      </c>
      <c r="J9">
        <f>L9</f>
        <v>57.93865444092971</v>
      </c>
      <c r="L9">
        <f>J21/G10/G16+G9</f>
        <v>57.93865444092971</v>
      </c>
    </row>
    <row r="10" spans="6:17" x14ac:dyDescent="0.25">
      <c r="F10" t="s">
        <v>3</v>
      </c>
      <c r="G10">
        <v>10</v>
      </c>
    </row>
    <row r="12" spans="6:17" x14ac:dyDescent="0.25">
      <c r="F12" t="s">
        <v>4</v>
      </c>
      <c r="G12">
        <v>75</v>
      </c>
    </row>
    <row r="13" spans="6:17" x14ac:dyDescent="0.25">
      <c r="F13" t="s">
        <v>5</v>
      </c>
      <c r="G13">
        <v>75</v>
      </c>
    </row>
    <row r="16" spans="6:17" x14ac:dyDescent="0.25">
      <c r="F16" t="s">
        <v>6</v>
      </c>
      <c r="G16">
        <v>600</v>
      </c>
    </row>
    <row r="17" spans="9:13" x14ac:dyDescent="0.25">
      <c r="I17" t="s">
        <v>9</v>
      </c>
      <c r="J17">
        <f>((G6-G9)-(J6-J9))/LN((G6-G9)/(J6-J9))</f>
        <v>40.467895433921903</v>
      </c>
    </row>
    <row r="18" spans="9:13" x14ac:dyDescent="0.25">
      <c r="I18" t="s">
        <v>10</v>
      </c>
      <c r="J18">
        <f>((G6-G9)-(J6-J9))/2</f>
        <v>31.615545367441428</v>
      </c>
    </row>
    <row r="20" spans="9:13" x14ac:dyDescent="0.25">
      <c r="I20" t="s">
        <v>11</v>
      </c>
      <c r="J20" s="1">
        <f>J17*G12*G13</f>
        <v>227631.91181581069</v>
      </c>
      <c r="L20" t="s">
        <v>13</v>
      </c>
      <c r="M20">
        <f>ABS(J20-J21)</f>
        <v>1.4829767605988309E-2</v>
      </c>
    </row>
    <row r="21" spans="9:13" x14ac:dyDescent="0.25">
      <c r="I21" t="s">
        <v>12</v>
      </c>
      <c r="J21" s="1">
        <f>G16*G7*(G6-J6)</f>
        <v>227631.92664557829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Montin</dc:creator>
  <cp:lastModifiedBy>Tomas Montin</cp:lastModifiedBy>
  <dcterms:created xsi:type="dcterms:W3CDTF">2017-10-21T11:22:00Z</dcterms:created>
  <dcterms:modified xsi:type="dcterms:W3CDTF">2017-10-21T20:20:53Z</dcterms:modified>
</cp:coreProperties>
</file>